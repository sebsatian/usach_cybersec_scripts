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EC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<sst xmlns="http://schemas.openxmlformats.org/spreadsheetml/2006/main" count="17" uniqueCount="17">
  <si>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Activo / Host</t>
  </si>
  <si>
    <t>EX (1-3)</t>
  </si>
  <si>
    <t>AUTH (1-4)</t>
  </si>
  <si>
    <t>L (1-5)</t>
  </si>
  <si>
    <t>CI (1-5)</t>
  </si>
  <si>
    <t>CO (1-5)</t>
  </si>
  <si>
    <t>R (0-1)</t>
  </si>
  <si>
    <t>EX_n</t>
  </si>
  <si>
    <t>AUTH_n</t>
  </si>
  <si>
    <t>L_n</t>
  </si>
  <si>
    <t>CI_n</t>
  </si>
  <si>
    <t>CO_n</t>
  </si>
  <si>
    <t>R_n</t>
  </si>
  <si>
    <t>Dim_Tecnica</t>
  </si>
  <si>
    <t>Dim_Organizacional</t>
  </si>
  <si>
    <t>P_act (%)</t>
  </si>
  <si>
    <t>Nivel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</si>
</sst>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cols>
    <col min="1" max="1" width="25.7109375" customWidth="1"/>
    <col min="2" max="7" width="10.7109375" customWidth="1"/>
    <col min="8" max="13" width="8.7109375" customWidth="1"/>
    <col min="14" max="14" width="14.7109375" customWidth="1"/>
    <col min="15" max="15" width="18.7109375" customWidth="1"/>
    <col min="16" max="17" width="1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H2">
        <f>IF(B2&lt;&gt;"",(B2-1)/2,"")</f>
        <v>0</v>
      </c>
      <c r="I2">
        <f>IF(C2&lt;&gt;"",(C2-1)/3,"")</f>
        <v>0</v>
      </c>
      <c r="J2">
        <f>IF(D2&lt;&gt;"",(D2-1)/4,"")</f>
        <v>0</v>
      </c>
      <c r="K2">
        <f>IF(E2&lt;&gt;"",(E2-1)/4,"")</f>
        <v>0</v>
      </c>
      <c r="L2">
        <f>IF(F2&lt;&gt;"",(F2-1)/4,"")</f>
        <v>0</v>
      </c>
      <c r="M2">
        <f>IF(G2&lt;&gt;"",G2,"")</f>
        <v>0</v>
      </c>
      <c r="N2">
        <f>IF(H2&lt;&gt;"",0.4*H2+0.2*I2+0.4*J2,"")</f>
        <v>0</v>
      </c>
      <c r="O2">
        <f>IF(K2&lt;&gt;"",0.6*K2+0.3*L2+0.1*M2,"")</f>
        <v>0</v>
      </c>
      <c r="P2">
        <f>IF(N2&lt;&gt;"",(0.4*N2+0.6*O2)*100,"")</f>
        <v>0</v>
      </c>
      <c r="Q2">
        <f>IF(P2="","",IF(P2&gt;=90,"Crítica",IF(P2&gt;=70,"Alta",IF(P2&gt;=40,"Media","Baja"))))</f>
        <v>0</v>
      </c>
    </row>
    <row r="3" spans="1:17">
      <c r="H3">
        <f>IF(B3&lt;&gt;"",(B3-1)/2,"")</f>
        <v>0</v>
      </c>
      <c r="I3">
        <f>IF(C3&lt;&gt;"",(C3-1)/3,"")</f>
        <v>0</v>
      </c>
      <c r="J3">
        <f>IF(D3&lt;&gt;"",(D3-1)/4,"")</f>
        <v>0</v>
      </c>
      <c r="K3">
        <f>IF(E3&lt;&gt;"",(E3-1)/4,"")</f>
        <v>0</v>
      </c>
      <c r="L3">
        <f>IF(F3&lt;&gt;"",(F3-1)/4,"")</f>
        <v>0</v>
      </c>
      <c r="M3">
        <f>IF(G3&lt;&gt;"",G3,"")</f>
        <v>0</v>
      </c>
      <c r="N3">
        <f>IF(H3&lt;&gt;"",0.4*H3+0.2*I3+0.4*J3,"")</f>
        <v>0</v>
      </c>
      <c r="O3">
        <f>IF(K3&lt;&gt;"",0.6*K3+0.3*L3+0.1*M3,"")</f>
        <v>0</v>
      </c>
      <c r="P3">
        <f>IF(N3&lt;&gt;"",(0.4*N3+0.6*O3)*100,"")</f>
        <v>0</v>
      </c>
      <c r="Q3">
        <f>IF(P3="","",IF(P3&gt;=90,"Crítica",IF(P3&gt;=70,"Alta",IF(P3&gt;=40,"Media","Baja"))))</f>
        <v>0</v>
      </c>
    </row>
    <row r="4" spans="1:17">
      <c r="H4">
        <f>IF(B4&lt;&gt;"",(B4-1)/2,"")</f>
        <v>0</v>
      </c>
      <c r="I4">
        <f>IF(C4&lt;&gt;"",(C4-1)/3,"")</f>
        <v>0</v>
      </c>
      <c r="J4">
        <f>IF(D4&lt;&gt;"",(D4-1)/4,"")</f>
        <v>0</v>
      </c>
      <c r="K4">
        <f>IF(E4&lt;&gt;"",(E4-1)/4,"")</f>
        <v>0</v>
      </c>
      <c r="L4">
        <f>IF(F4&lt;&gt;"",(F4-1)/4,"")</f>
        <v>0</v>
      </c>
      <c r="M4">
        <f>IF(G4&lt;&gt;"",G4,"")</f>
        <v>0</v>
      </c>
      <c r="N4">
        <f>IF(H4&lt;&gt;"",0.4*H4+0.2*I4+0.4*J4,"")</f>
        <v>0</v>
      </c>
      <c r="O4">
        <f>IF(K4&lt;&gt;"",0.6*K4+0.3*L4+0.1*M4,"")</f>
        <v>0</v>
      </c>
      <c r="P4">
        <f>IF(N4&lt;&gt;"",(0.4*N4+0.6*O4)*100,"")</f>
        <v>0</v>
      </c>
      <c r="Q4">
        <f>IF(P4="","",IF(P4&gt;=90,"Crítica",IF(P4&gt;=70,"Alta",IF(P4&gt;=40,"Media","Baja"))))</f>
        <v>0</v>
      </c>
    </row>
    <row r="5" spans="1:17">
      <c r="H5">
        <f>IF(B5&lt;&gt;"",(B5-1)/2,"")</f>
        <v>0</v>
      </c>
      <c r="I5">
        <f>IF(C5&lt;&gt;"",(C5-1)/3,"")</f>
        <v>0</v>
      </c>
      <c r="J5">
        <f>IF(D5&lt;&gt;"",(D5-1)/4,"")</f>
        <v>0</v>
      </c>
      <c r="K5">
        <f>IF(E5&lt;&gt;"",(E5-1)/4,"")</f>
        <v>0</v>
      </c>
      <c r="L5">
        <f>IF(F5&lt;&gt;"",(F5-1)/4,"")</f>
        <v>0</v>
      </c>
      <c r="M5">
        <f>IF(G5&lt;&gt;"",G5,"")</f>
        <v>0</v>
      </c>
      <c r="N5">
        <f>IF(H5&lt;&gt;"",0.4*H5+0.2*I5+0.4*J5,"")</f>
        <v>0</v>
      </c>
      <c r="O5">
        <f>IF(K5&lt;&gt;"",0.6*K5+0.3*L5+0.1*M5,"")</f>
        <v>0</v>
      </c>
      <c r="P5">
        <f>IF(N5&lt;&gt;"",(0.4*N5+0.6*O5)*100,"")</f>
        <v>0</v>
      </c>
      <c r="Q5">
        <f>IF(P5="","",IF(P5&gt;=90,"Crítica",IF(P5&gt;=70,"Alta",IF(P5&gt;=40,"Media","Baja"))))</f>
        <v>0</v>
      </c>
    </row>
    <row r="6" spans="1:17">
      <c r="H6">
        <f>IF(B6&lt;&gt;"",(B6-1)/2,"")</f>
        <v>0</v>
      </c>
      <c r="I6">
        <f>IF(C6&lt;&gt;"",(C6-1)/3,"")</f>
        <v>0</v>
      </c>
      <c r="J6">
        <f>IF(D6&lt;&gt;"",(D6-1)/4,"")</f>
        <v>0</v>
      </c>
      <c r="K6">
        <f>IF(E6&lt;&gt;"",(E6-1)/4,"")</f>
        <v>0</v>
      </c>
      <c r="L6">
        <f>IF(F6&lt;&gt;"",(F6-1)/4,"")</f>
        <v>0</v>
      </c>
      <c r="M6">
        <f>IF(G6&lt;&gt;"",G6,"")</f>
        <v>0</v>
      </c>
      <c r="N6">
        <f>IF(H6&lt;&gt;"",0.4*H6+0.2*I6+0.4*J6,"")</f>
        <v>0</v>
      </c>
      <c r="O6">
        <f>IF(K6&lt;&gt;"",0.6*K6+0.3*L6+0.1*M6,"")</f>
        <v>0</v>
      </c>
      <c r="P6">
        <f>IF(N6&lt;&gt;"",(0.4*N6+0.6*O6)*100,"")</f>
        <v>0</v>
      </c>
      <c r="Q6">
        <f>IF(P6="","",IF(P6&gt;=90,"Crítica",IF(P6&gt;=70,"Alta",IF(P6&gt;=40,"Media","Baja"))))</f>
        <v>0</v>
      </c>
    </row>
    <row r="7" spans="1:17">
      <c r="H7">
        <f>IF(B7&lt;&gt;"",(B7-1)/2,"")</f>
        <v>0</v>
      </c>
      <c r="I7">
        <f>IF(C7&lt;&gt;"",(C7-1)/3,"")</f>
        <v>0</v>
      </c>
      <c r="J7">
        <f>IF(D7&lt;&gt;"",(D7-1)/4,"")</f>
        <v>0</v>
      </c>
      <c r="K7">
        <f>IF(E7&lt;&gt;"",(E7-1)/4,"")</f>
        <v>0</v>
      </c>
      <c r="L7">
        <f>IF(F7&lt;&gt;"",(F7-1)/4,"")</f>
        <v>0</v>
      </c>
      <c r="M7">
        <f>IF(G7&lt;&gt;"",G7,"")</f>
        <v>0</v>
      </c>
      <c r="N7">
        <f>IF(H7&lt;&gt;"",0.4*H7+0.2*I7+0.4*J7,"")</f>
        <v>0</v>
      </c>
      <c r="O7">
        <f>IF(K7&lt;&gt;"",0.6*K7+0.3*L7+0.1*M7,"")</f>
        <v>0</v>
      </c>
      <c r="P7">
        <f>IF(N7&lt;&gt;"",(0.4*N7+0.6*O7)*100,"")</f>
        <v>0</v>
      </c>
      <c r="Q7">
        <f>IF(P7="","",IF(P7&gt;=90,"Crítica",IF(P7&gt;=70,"Alta",IF(P7&gt;=40,"Media","Baja"))))</f>
        <v>0</v>
      </c>
    </row>
    <row r="8" spans="1:17">
      <c r="H8">
        <f>IF(B8&lt;&gt;"",(B8-1)/2,"")</f>
        <v>0</v>
      </c>
      <c r="I8">
        <f>IF(C8&lt;&gt;"",(C8-1)/3,"")</f>
        <v>0</v>
      </c>
      <c r="J8">
        <f>IF(D8&lt;&gt;"",(D8-1)/4,"")</f>
        <v>0</v>
      </c>
      <c r="K8">
        <f>IF(E8&lt;&gt;"",(E8-1)/4,"")</f>
        <v>0</v>
      </c>
      <c r="L8">
        <f>IF(F8&lt;&gt;"",(F8-1)/4,"")</f>
        <v>0</v>
      </c>
      <c r="M8">
        <f>IF(G8&lt;&gt;"",G8,"")</f>
        <v>0</v>
      </c>
      <c r="N8">
        <f>IF(H8&lt;&gt;"",0.4*H8+0.2*I8+0.4*J8,"")</f>
        <v>0</v>
      </c>
      <c r="O8">
        <f>IF(K8&lt;&gt;"",0.6*K8+0.3*L8+0.1*M8,"")</f>
        <v>0</v>
      </c>
      <c r="P8">
        <f>IF(N8&lt;&gt;"",(0.4*N8+0.6*O8)*100,"")</f>
        <v>0</v>
      </c>
      <c r="Q8">
        <f>IF(P8="","",IF(P8&gt;=90,"Crítica",IF(P8&gt;=70,"Alta",IF(P8&gt;=40,"Media","Baja"))))</f>
        <v>0</v>
      </c>
    </row>
    <row r="9" spans="1:17">
      <c r="H9">
        <f>IF(B9&lt;&gt;"",(B9-1)/2,"")</f>
        <v>0</v>
      </c>
      <c r="I9">
        <f>IF(C9&lt;&gt;"",(C9-1)/3,"")</f>
        <v>0</v>
      </c>
      <c r="J9">
        <f>IF(D9&lt;&gt;"",(D9-1)/4,"")</f>
        <v>0</v>
      </c>
      <c r="K9">
        <f>IF(E9&lt;&gt;"",(E9-1)/4,"")</f>
        <v>0</v>
      </c>
      <c r="L9">
        <f>IF(F9&lt;&gt;"",(F9-1)/4,"")</f>
        <v>0</v>
      </c>
      <c r="M9">
        <f>IF(G9&lt;&gt;"",G9,"")</f>
        <v>0</v>
      </c>
      <c r="N9">
        <f>IF(H9&lt;&gt;"",0.4*H9+0.2*I9+0.4*J9,"")</f>
        <v>0</v>
      </c>
      <c r="O9">
        <f>IF(K9&lt;&gt;"",0.6*K9+0.3*L9+0.1*M9,"")</f>
        <v>0</v>
      </c>
      <c r="P9">
        <f>IF(N9&lt;&gt;"",(0.4*N9+0.6*O9)*100,"")</f>
        <v>0</v>
      </c>
      <c r="Q9">
        <f>IF(P9="","",IF(P9&gt;=90,"Crítica",IF(P9&gt;=70,"Alta",IF(P9&gt;=40,"Media","Baja"))))</f>
        <v>0</v>
      </c>
    </row>
    <row r="10" spans="1:17">
      <c r="H10">
        <f>IF(B10&lt;&gt;"",(B10-1)/2,"")</f>
        <v>0</v>
      </c>
      <c r="I10">
        <f>IF(C10&lt;&gt;"",(C10-1)/3,"")</f>
        <v>0</v>
      </c>
      <c r="J10">
        <f>IF(D10&lt;&gt;"",(D10-1)/4,"")</f>
        <v>0</v>
      </c>
      <c r="K10">
        <f>IF(E10&lt;&gt;"",(E10-1)/4,"")</f>
        <v>0</v>
      </c>
      <c r="L10">
        <f>IF(F10&lt;&gt;"",(F10-1)/4,"")</f>
        <v>0</v>
      </c>
      <c r="M10">
        <f>IF(G10&lt;&gt;"",G10,"")</f>
        <v>0</v>
      </c>
      <c r="N10">
        <f>IF(H10&lt;&gt;"",0.4*H10+0.2*I10+0.4*J10,"")</f>
        <v>0</v>
      </c>
      <c r="O10">
        <f>IF(K10&lt;&gt;"",0.6*K10+0.3*L10+0.1*M10,"")</f>
        <v>0</v>
      </c>
      <c r="P10">
        <f>IF(N10&lt;&gt;"",(0.4*N10+0.6*O10)*100,"")</f>
        <v>0</v>
      </c>
      <c r="Q10">
        <f>IF(P10="","",IF(P10&gt;=90,"Crítica",IF(P10&gt;=70,"Alta",IF(P10&gt;=40,"Media","Baja"))))</f>
        <v>0</v>
      </c>
    </row>
    <row r="11" spans="1:17">
      <c r="H11">
        <f>IF(B11&lt;&gt;"",(B11-1)/2,"")</f>
        <v>0</v>
      </c>
      <c r="I11">
        <f>IF(C11&lt;&gt;"",(C11-1)/3,"")</f>
        <v>0</v>
      </c>
      <c r="J11">
        <f>IF(D11&lt;&gt;"",(D11-1)/4,"")</f>
        <v>0</v>
      </c>
      <c r="K11">
        <f>IF(E11&lt;&gt;"",(E11-1)/4,"")</f>
        <v>0</v>
      </c>
      <c r="L11">
        <f>IF(F11&lt;&gt;"",(F11-1)/4,"")</f>
        <v>0</v>
      </c>
      <c r="M11">
        <f>IF(G11&lt;&gt;"",G11,"")</f>
        <v>0</v>
      </c>
      <c r="N11">
        <f>IF(H11&lt;&gt;"",0.4*H11+0.2*I11+0.4*J11,"")</f>
        <v>0</v>
      </c>
      <c r="O11">
        <f>IF(K11&lt;&gt;"",0.6*K11+0.3*L11+0.1*M11,"")</f>
        <v>0</v>
      </c>
      <c r="P11">
        <f>IF(N11&lt;&gt;"",(0.4*N11+0.6*O11)*100,"")</f>
        <v>0</v>
      </c>
      <c r="Q11">
        <f>IF(P11="","",IF(P11&gt;=90,"Crítica",IF(P11&gt;=70,"Alta",IF(P11&gt;=40,"Media","Baja"))))</f>
        <v>0</v>
      </c>
    </row>
    <row r="12" spans="1:17">
      <c r="H12">
        <f>IF(B12&lt;&gt;"",(B12-1)/2,"")</f>
        <v>0</v>
      </c>
      <c r="I12">
        <f>IF(C12&lt;&gt;"",(C12-1)/3,"")</f>
        <v>0</v>
      </c>
      <c r="J12">
        <f>IF(D12&lt;&gt;"",(D12-1)/4,"")</f>
        <v>0</v>
      </c>
      <c r="K12">
        <f>IF(E12&lt;&gt;"",(E12-1)/4,"")</f>
        <v>0</v>
      </c>
      <c r="L12">
        <f>IF(F12&lt;&gt;"",(F12-1)/4,"")</f>
        <v>0</v>
      </c>
      <c r="M12">
        <f>IF(G12&lt;&gt;"",G12,"")</f>
        <v>0</v>
      </c>
      <c r="N12">
        <f>IF(H12&lt;&gt;"",0.4*H12+0.2*I12+0.4*J12,"")</f>
        <v>0</v>
      </c>
      <c r="O12">
        <f>IF(K12&lt;&gt;"",0.6*K12+0.3*L12+0.1*M12,"")</f>
        <v>0</v>
      </c>
      <c r="P12">
        <f>IF(N12&lt;&gt;"",(0.4*N12+0.6*O12)*100,"")</f>
        <v>0</v>
      </c>
      <c r="Q12">
        <f>IF(P12="","",IF(P12&gt;=90,"Crítica",IF(P12&gt;=70,"Alta",IF(P12&gt;=40,"Media","Baja"))))</f>
        <v>0</v>
      </c>
    </row>
    <row r="13" spans="1:17">
      <c r="H13">
        <f>IF(B13&lt;&gt;"",(B13-1)/2,"")</f>
        <v>0</v>
      </c>
      <c r="I13">
        <f>IF(C13&lt;&gt;"",(C13-1)/3,"")</f>
        <v>0</v>
      </c>
      <c r="J13">
        <f>IF(D13&lt;&gt;"",(D13-1)/4,"")</f>
        <v>0</v>
      </c>
      <c r="K13">
        <f>IF(E13&lt;&gt;"",(E13-1)/4,"")</f>
        <v>0</v>
      </c>
      <c r="L13">
        <f>IF(F13&lt;&gt;"",(F13-1)/4,"")</f>
        <v>0</v>
      </c>
      <c r="M13">
        <f>IF(G13&lt;&gt;"",G13,"")</f>
        <v>0</v>
      </c>
      <c r="N13">
        <f>IF(H13&lt;&gt;"",0.4*H13+0.2*I13+0.4*J13,"")</f>
        <v>0</v>
      </c>
      <c r="O13">
        <f>IF(K13&lt;&gt;"",0.6*K13+0.3*L13+0.1*M13,"")</f>
        <v>0</v>
      </c>
      <c r="P13">
        <f>IF(N13&lt;&gt;"",(0.4*N13+0.6*O13)*100,"")</f>
        <v>0</v>
      </c>
      <c r="Q13">
        <f>IF(P13="","",IF(P13&gt;=90,"Crítica",IF(P13&gt;=70,"Alta",IF(P13&gt;=40,"Media","Baja"))))</f>
        <v>0</v>
      </c>
    </row>
    <row r="14" spans="1:17">
      <c r="H14">
        <f>IF(B14&lt;&gt;"",(B14-1)/2,"")</f>
        <v>0</v>
      </c>
      <c r="I14">
        <f>IF(C14&lt;&gt;"",(C14-1)/3,"")</f>
        <v>0</v>
      </c>
      <c r="J14">
        <f>IF(D14&lt;&gt;"",(D14-1)/4,"")</f>
        <v>0</v>
      </c>
      <c r="K14">
        <f>IF(E14&lt;&gt;"",(E14-1)/4,"")</f>
        <v>0</v>
      </c>
      <c r="L14">
        <f>IF(F14&lt;&gt;"",(F14-1)/4,"")</f>
        <v>0</v>
      </c>
      <c r="M14">
        <f>IF(G14&lt;&gt;"",G14,"")</f>
        <v>0</v>
      </c>
      <c r="N14">
        <f>IF(H14&lt;&gt;"",0.4*H14+0.2*I14+0.4*J14,"")</f>
        <v>0</v>
      </c>
      <c r="O14">
        <f>IF(K14&lt;&gt;"",0.6*K14+0.3*L14+0.1*M14,"")</f>
        <v>0</v>
      </c>
      <c r="P14">
        <f>IF(N14&lt;&gt;"",(0.4*N14+0.6*O14)*100,"")</f>
        <v>0</v>
      </c>
      <c r="Q14">
        <f>IF(P14="","",IF(P14&gt;=90,"Crítica",IF(P14&gt;=70,"Alta",IF(P14&gt;=40,"Media","Baja"))))</f>
        <v>0</v>
      </c>
    </row>
    <row r="15" spans="1:17">
      <c r="H15">
        <f>IF(B15&lt;&gt;"",(B15-1)/2,"")</f>
        <v>0</v>
      </c>
      <c r="I15">
        <f>IF(C15&lt;&gt;"",(C15-1)/3,"")</f>
        <v>0</v>
      </c>
      <c r="J15">
        <f>IF(D15&lt;&gt;"",(D15-1)/4,"")</f>
        <v>0</v>
      </c>
      <c r="K15">
        <f>IF(E15&lt;&gt;"",(E15-1)/4,"")</f>
        <v>0</v>
      </c>
      <c r="L15">
        <f>IF(F15&lt;&gt;"",(F15-1)/4,"")</f>
        <v>0</v>
      </c>
      <c r="M15">
        <f>IF(G15&lt;&gt;"",G15,"")</f>
        <v>0</v>
      </c>
      <c r="N15">
        <f>IF(H15&lt;&gt;"",0.4*H15+0.2*I15+0.4*J15,"")</f>
        <v>0</v>
      </c>
      <c r="O15">
        <f>IF(K15&lt;&gt;"",0.6*K15+0.3*L15+0.1*M15,"")</f>
        <v>0</v>
      </c>
      <c r="P15">
        <f>IF(N15&lt;&gt;"",(0.4*N15+0.6*O15)*100,"")</f>
        <v>0</v>
      </c>
      <c r="Q15">
        <f>IF(P15="","",IF(P15&gt;=90,"Crítica",IF(P15&gt;=70,"Alta",IF(P15&gt;=40,"Media","Baja"))))</f>
        <v>0</v>
      </c>
    </row>
    <row r="16" spans="1:17">
      <c r="H16">
        <f>IF(B16&lt;&gt;"",(B16-1)/2,"")</f>
        <v>0</v>
      </c>
      <c r="I16">
        <f>IF(C16&lt;&gt;"",(C16-1)/3,"")</f>
        <v>0</v>
      </c>
      <c r="J16">
        <f>IF(D16&lt;&gt;"",(D16-1)/4,"")</f>
        <v>0</v>
      </c>
      <c r="K16">
        <f>IF(E16&lt;&gt;"",(E16-1)/4,"")</f>
        <v>0</v>
      </c>
      <c r="L16">
        <f>IF(F16&lt;&gt;"",(F16-1)/4,"")</f>
        <v>0</v>
      </c>
      <c r="M16">
        <f>IF(G16&lt;&gt;"",G16,"")</f>
        <v>0</v>
      </c>
      <c r="N16">
        <f>IF(H16&lt;&gt;"",0.4*H16+0.2*I16+0.4*J16,"")</f>
        <v>0</v>
      </c>
      <c r="O16">
        <f>IF(K16&lt;&gt;"",0.6*K16+0.3*L16+0.1*M16,"")</f>
        <v>0</v>
      </c>
      <c r="P16">
        <f>IF(N16&lt;&gt;"",(0.4*N16+0.6*O16)*100,"")</f>
        <v>0</v>
      </c>
      <c r="Q16">
        <f>IF(P16="","",IF(P16&gt;=90,"Crítica",IF(P16&gt;=70,"Alta",IF(P16&gt;=40,"Media","Baja"))))</f>
        <v>0</v>
      </c>
    </row>
    <row r="17" spans="8:17">
      <c r="H17">
        <f>IF(B17&lt;&gt;"",(B17-1)/2,"")</f>
        <v>0</v>
      </c>
      <c r="I17">
        <f>IF(C17&lt;&gt;"",(C17-1)/3,"")</f>
        <v>0</v>
      </c>
      <c r="J17">
        <f>IF(D17&lt;&gt;"",(D17-1)/4,"")</f>
        <v>0</v>
      </c>
      <c r="K17">
        <f>IF(E17&lt;&gt;"",(E17-1)/4,"")</f>
        <v>0</v>
      </c>
      <c r="L17">
        <f>IF(F17&lt;&gt;"",(F17-1)/4,"")</f>
        <v>0</v>
      </c>
      <c r="M17">
        <f>IF(G17&lt;&gt;"",G17,"")</f>
        <v>0</v>
      </c>
      <c r="N17">
        <f>IF(H17&lt;&gt;"",0.4*H17+0.2*I17+0.4*J17,"")</f>
        <v>0</v>
      </c>
      <c r="O17">
        <f>IF(K17&lt;&gt;"",0.6*K17+0.3*L17+0.1*M17,"")</f>
        <v>0</v>
      </c>
      <c r="P17">
        <f>IF(N17&lt;&gt;"",(0.4*N17+0.6*O17)*100,"")</f>
        <v>0</v>
      </c>
      <c r="Q17">
        <f>IF(P17="","",IF(P17&gt;=90,"Crítica",IF(P17&gt;=70,"Alta",IF(P17&gt;=40,"Media","Baja"))))</f>
        <v>0</v>
      </c>
    </row>
    <row r="18" spans="8:17">
      <c r="H18">
        <f>IF(B18&lt;&gt;"",(B18-1)/2,"")</f>
        <v>0</v>
      </c>
      <c r="I18">
        <f>IF(C18&lt;&gt;"",(C18-1)/3,"")</f>
        <v>0</v>
      </c>
      <c r="J18">
        <f>IF(D18&lt;&gt;"",(D18-1)/4,"")</f>
        <v>0</v>
      </c>
      <c r="K18">
        <f>IF(E18&lt;&gt;"",(E18-1)/4,"")</f>
        <v>0</v>
      </c>
      <c r="L18">
        <f>IF(F18&lt;&gt;"",(F18-1)/4,"")</f>
        <v>0</v>
      </c>
      <c r="M18">
        <f>IF(G18&lt;&gt;"",G18,"")</f>
        <v>0</v>
      </c>
      <c r="N18">
        <f>IF(H18&lt;&gt;"",0.4*H18+0.2*I18+0.4*J18,"")</f>
        <v>0</v>
      </c>
      <c r="O18">
        <f>IF(K18&lt;&gt;"",0.6*K18+0.3*L18+0.1*M18,"")</f>
        <v>0</v>
      </c>
      <c r="P18">
        <f>IF(N18&lt;&gt;"",(0.4*N18+0.6*O18)*100,"")</f>
        <v>0</v>
      </c>
      <c r="Q18">
        <f>IF(P18="","",IF(P18&gt;=90,"Crítica",IF(P18&gt;=70,"Alta",IF(P18&gt;=40,"Media","Baja"))))</f>
        <v>0</v>
      </c>
    </row>
    <row r="19" spans="8:17">
      <c r="H19">
        <f>IF(B19&lt;&gt;"",(B19-1)/2,"")</f>
        <v>0</v>
      </c>
      <c r="I19">
        <f>IF(C19&lt;&gt;"",(C19-1)/3,"")</f>
        <v>0</v>
      </c>
      <c r="J19">
        <f>IF(D19&lt;&gt;"",(D19-1)/4,"")</f>
        <v>0</v>
      </c>
      <c r="K19">
        <f>IF(E19&lt;&gt;"",(E19-1)/4,"")</f>
        <v>0</v>
      </c>
      <c r="L19">
        <f>IF(F19&lt;&gt;"",(F19-1)/4,"")</f>
        <v>0</v>
      </c>
      <c r="M19">
        <f>IF(G19&lt;&gt;"",G19,"")</f>
        <v>0</v>
      </c>
      <c r="N19">
        <f>IF(H19&lt;&gt;"",0.4*H19+0.2*I19+0.4*J19,"")</f>
        <v>0</v>
      </c>
      <c r="O19">
        <f>IF(K19&lt;&gt;"",0.6*K19+0.3*L19+0.1*M19,"")</f>
        <v>0</v>
      </c>
      <c r="P19">
        <f>IF(N19&lt;&gt;"",(0.4*N19+0.6*O19)*100,"")</f>
        <v>0</v>
      </c>
      <c r="Q19">
        <f>IF(P19="","",IF(P19&gt;=90,"Crítica",IF(P19&gt;=70,"Alta",IF(P19&gt;=40,"Media","Baja"))))</f>
        <v>0</v>
      </c>
    </row>
    <row r="20" spans="8:17">
      <c r="H20">
        <f>IF(B20&lt;&gt;"",(B20-1)/2,"")</f>
        <v>0</v>
      </c>
      <c r="I20">
        <f>IF(C20&lt;&gt;"",(C20-1)/3,"")</f>
        <v>0</v>
      </c>
      <c r="J20">
        <f>IF(D20&lt;&gt;"",(D20-1)/4,"")</f>
        <v>0</v>
      </c>
      <c r="K20">
        <f>IF(E20&lt;&gt;"",(E20-1)/4,"")</f>
        <v>0</v>
      </c>
      <c r="L20">
        <f>IF(F20&lt;&gt;"",(F20-1)/4,"")</f>
        <v>0</v>
      </c>
      <c r="M20">
        <f>IF(G20&lt;&gt;"",G20,"")</f>
        <v>0</v>
      </c>
      <c r="N20">
        <f>IF(H20&lt;&gt;"",0.4*H20+0.2*I20+0.4*J20,"")</f>
        <v>0</v>
      </c>
      <c r="O20">
        <f>IF(K20&lt;&gt;"",0.6*K20+0.3*L20+0.1*M20,"")</f>
        <v>0</v>
      </c>
      <c r="P20">
        <f>IF(N20&lt;&gt;"",(0.4*N20+0.6*O20)*100,"")</f>
        <v>0</v>
      </c>
      <c r="Q20">
        <f>IF(P20="","",IF(P20&gt;=90,"Crítica",IF(P20&gt;=70,"Alta",IF(P20&gt;=40,"Media","Baja"))))</f>
        <v>0</v>
      </c>
    </row>
    <row r="21" spans="8:17">
      <c r="H21">
        <f>IF(B21&lt;&gt;"",(B21-1)/2,"")</f>
        <v>0</v>
      </c>
      <c r="I21">
        <f>IF(C21&lt;&gt;"",(C21-1)/3,"")</f>
        <v>0</v>
      </c>
      <c r="J21">
        <f>IF(D21&lt;&gt;"",(D21-1)/4,"")</f>
        <v>0</v>
      </c>
      <c r="K21">
        <f>IF(E21&lt;&gt;"",(E21-1)/4,"")</f>
        <v>0</v>
      </c>
      <c r="L21">
        <f>IF(F21&lt;&gt;"",(F21-1)/4,"")</f>
        <v>0</v>
      </c>
      <c r="M21">
        <f>IF(G21&lt;&gt;"",G21,"")</f>
        <v>0</v>
      </c>
      <c r="N21">
        <f>IF(H21&lt;&gt;"",0.4*H21+0.2*I21+0.4*J21,"")</f>
        <v>0</v>
      </c>
      <c r="O21">
        <f>IF(K21&lt;&gt;"",0.6*K21+0.3*L21+0.1*M21,"")</f>
        <v>0</v>
      </c>
      <c r="P21">
        <f>IF(N21&lt;&gt;"",(0.4*N21+0.6*O21)*100,"")</f>
        <v>0</v>
      </c>
      <c r="Q21">
        <f>IF(P21="","",IF(P21&gt;=90,"Crítica",IF(P21&gt;=70,"Alta",IF(P21&gt;=40,"Media","Baja"))))</f>
        <v>0</v>
      </c>
    </row>
    <row r="22" spans="8:17">
      <c r="H22">
        <f>IF(B22&lt;&gt;"",(B22-1)/2,"")</f>
        <v>0</v>
      </c>
      <c r="I22">
        <f>IF(C22&lt;&gt;"",(C22-1)/3,"")</f>
        <v>0</v>
      </c>
      <c r="J22">
        <f>IF(D22&lt;&gt;"",(D22-1)/4,"")</f>
        <v>0</v>
      </c>
      <c r="K22">
        <f>IF(E22&lt;&gt;"",(E22-1)/4,"")</f>
        <v>0</v>
      </c>
      <c r="L22">
        <f>IF(F22&lt;&gt;"",(F22-1)/4,"")</f>
        <v>0</v>
      </c>
      <c r="M22">
        <f>IF(G22&lt;&gt;"",G22,"")</f>
        <v>0</v>
      </c>
      <c r="N22">
        <f>IF(H22&lt;&gt;"",0.4*H22+0.2*I22+0.4*J22,"")</f>
        <v>0</v>
      </c>
      <c r="O22">
        <f>IF(K22&lt;&gt;"",0.6*K22+0.3*L22+0.1*M22,"")</f>
        <v>0</v>
      </c>
      <c r="P22">
        <f>IF(N22&lt;&gt;"",(0.4*N22+0.6*O22)*100,"")</f>
        <v>0</v>
      </c>
      <c r="Q22">
        <f>IF(P22="","",IF(P22&gt;=90,"Crítica",IF(P22&gt;=70,"Alta",IF(P22&gt;=40,"Media","Baja"))))</f>
        <v>0</v>
      </c>
    </row>
    <row r="23" spans="8:17">
      <c r="H23">
        <f>IF(B23&lt;&gt;"",(B23-1)/2,"")</f>
        <v>0</v>
      </c>
      <c r="I23">
        <f>IF(C23&lt;&gt;"",(C23-1)/3,"")</f>
        <v>0</v>
      </c>
      <c r="J23">
        <f>IF(D23&lt;&gt;"",(D23-1)/4,"")</f>
        <v>0</v>
      </c>
      <c r="K23">
        <f>IF(E23&lt;&gt;"",(E23-1)/4,"")</f>
        <v>0</v>
      </c>
      <c r="L23">
        <f>IF(F23&lt;&gt;"",(F23-1)/4,"")</f>
        <v>0</v>
      </c>
      <c r="M23">
        <f>IF(G23&lt;&gt;"",G23,"")</f>
        <v>0</v>
      </c>
      <c r="N23">
        <f>IF(H23&lt;&gt;"",0.4*H23+0.2*I23+0.4*J23,"")</f>
        <v>0</v>
      </c>
      <c r="O23">
        <f>IF(K23&lt;&gt;"",0.6*K23+0.3*L23+0.1*M23,"")</f>
        <v>0</v>
      </c>
      <c r="P23">
        <f>IF(N23&lt;&gt;"",(0.4*N23+0.6*O23)*100,"")</f>
        <v>0</v>
      </c>
      <c r="Q23">
        <f>IF(P23="","",IF(P23&gt;=90,"Crítica",IF(P23&gt;=70,"Alta",IF(P23&gt;=40,"Media","Baja"))))</f>
        <v>0</v>
      </c>
    </row>
    <row r="24" spans="8:17">
      <c r="H24">
        <f>IF(B24&lt;&gt;"",(B24-1)/2,"")</f>
        <v>0</v>
      </c>
      <c r="I24">
        <f>IF(C24&lt;&gt;"",(C24-1)/3,"")</f>
        <v>0</v>
      </c>
      <c r="J24">
        <f>IF(D24&lt;&gt;"",(D24-1)/4,"")</f>
        <v>0</v>
      </c>
      <c r="K24">
        <f>IF(E24&lt;&gt;"",(E24-1)/4,"")</f>
        <v>0</v>
      </c>
      <c r="L24">
        <f>IF(F24&lt;&gt;"",(F24-1)/4,"")</f>
        <v>0</v>
      </c>
      <c r="M24">
        <f>IF(G24&lt;&gt;"",G24,"")</f>
        <v>0</v>
      </c>
      <c r="N24">
        <f>IF(H24&lt;&gt;"",0.4*H24+0.2*I24+0.4*J24,"")</f>
        <v>0</v>
      </c>
      <c r="O24">
        <f>IF(K24&lt;&gt;"",0.6*K24+0.3*L24+0.1*M24,"")</f>
        <v>0</v>
      </c>
      <c r="P24">
        <f>IF(N24&lt;&gt;"",(0.4*N24+0.6*O24)*100,"")</f>
        <v>0</v>
      </c>
      <c r="Q24">
        <f>IF(P24="","",IF(P24&gt;=90,"Crítica",IF(P24&gt;=70,"Alta",IF(P24&gt;=40,"Media","Baja"))))</f>
        <v>0</v>
      </c>
    </row>
    <row r="25" spans="8:17">
      <c r="H25">
        <f>IF(B25&lt;&gt;"",(B25-1)/2,"")</f>
        <v>0</v>
      </c>
      <c r="I25">
        <f>IF(C25&lt;&gt;"",(C25-1)/3,"")</f>
        <v>0</v>
      </c>
      <c r="J25">
        <f>IF(D25&lt;&gt;"",(D25-1)/4,"")</f>
        <v>0</v>
      </c>
      <c r="K25">
        <f>IF(E25&lt;&gt;"",(E25-1)/4,"")</f>
        <v>0</v>
      </c>
      <c r="L25">
        <f>IF(F25&lt;&gt;"",(F25-1)/4,"")</f>
        <v>0</v>
      </c>
      <c r="M25">
        <f>IF(G25&lt;&gt;"",G25,"")</f>
        <v>0</v>
      </c>
      <c r="N25">
        <f>IF(H25&lt;&gt;"",0.4*H25+0.2*I25+0.4*J25,"")</f>
        <v>0</v>
      </c>
      <c r="O25">
        <f>IF(K25&lt;&gt;"",0.6*K25+0.3*L25+0.1*M25,"")</f>
        <v>0</v>
      </c>
      <c r="P25">
        <f>IF(N25&lt;&gt;"",(0.4*N25+0.6*O25)*100,"")</f>
        <v>0</v>
      </c>
      <c r="Q25">
        <f>IF(P25="","",IF(P25&gt;=90,"Crítica",IF(P25&gt;=70,"Alta",IF(P25&gt;=40,"Media","Baja"))))</f>
        <v>0</v>
      </c>
    </row>
    <row r="26" spans="8:17">
      <c r="H26">
        <f>IF(B26&lt;&gt;"",(B26-1)/2,"")</f>
        <v>0</v>
      </c>
      <c r="I26">
        <f>IF(C26&lt;&gt;"",(C26-1)/3,"")</f>
        <v>0</v>
      </c>
      <c r="J26">
        <f>IF(D26&lt;&gt;"",(D26-1)/4,"")</f>
        <v>0</v>
      </c>
      <c r="K26">
        <f>IF(E26&lt;&gt;"",(E26-1)/4,"")</f>
        <v>0</v>
      </c>
      <c r="L26">
        <f>IF(F26&lt;&gt;"",(F26-1)/4,"")</f>
        <v>0</v>
      </c>
      <c r="M26">
        <f>IF(G26&lt;&gt;"",G26,"")</f>
        <v>0</v>
      </c>
      <c r="N26">
        <f>IF(H26&lt;&gt;"",0.4*H26+0.2*I26+0.4*J26,"")</f>
        <v>0</v>
      </c>
      <c r="O26">
        <f>IF(K26&lt;&gt;"",0.6*K26+0.3*L26+0.1*M26,"")</f>
        <v>0</v>
      </c>
      <c r="P26">
        <f>IF(N26&lt;&gt;"",(0.4*N26+0.6*O26)*100,"")</f>
        <v>0</v>
      </c>
      <c r="Q26">
        <f>IF(P26="","",IF(P26&gt;=90,"Crítica",IF(P26&gt;=70,"Alta",IF(P26&gt;=40,"Media","Baja"))))</f>
        <v>0</v>
      </c>
    </row>
    <row r="27" spans="8:17">
      <c r="H27">
        <f>IF(B27&lt;&gt;"",(B27-1)/2,"")</f>
        <v>0</v>
      </c>
      <c r="I27">
        <f>IF(C27&lt;&gt;"",(C27-1)/3,"")</f>
        <v>0</v>
      </c>
      <c r="J27">
        <f>IF(D27&lt;&gt;"",(D27-1)/4,"")</f>
        <v>0</v>
      </c>
      <c r="K27">
        <f>IF(E27&lt;&gt;"",(E27-1)/4,"")</f>
        <v>0</v>
      </c>
      <c r="L27">
        <f>IF(F27&lt;&gt;"",(F27-1)/4,"")</f>
        <v>0</v>
      </c>
      <c r="M27">
        <f>IF(G27&lt;&gt;"",G27,"")</f>
        <v>0</v>
      </c>
      <c r="N27">
        <f>IF(H27&lt;&gt;"",0.4*H27+0.2*I27+0.4*J27,"")</f>
        <v>0</v>
      </c>
      <c r="O27">
        <f>IF(K27&lt;&gt;"",0.6*K27+0.3*L27+0.1*M27,"")</f>
        <v>0</v>
      </c>
      <c r="P27">
        <f>IF(N27&lt;&gt;"",(0.4*N27+0.6*O27)*100,"")</f>
        <v>0</v>
      </c>
      <c r="Q27">
        <f>IF(P27="","",IF(P27&gt;=90,"Crítica",IF(P27&gt;=70,"Alta",IF(P27&gt;=40,"Media","Baja"))))</f>
        <v>0</v>
      </c>
    </row>
    <row r="28" spans="8:17">
      <c r="H28">
        <f>IF(B28&lt;&gt;"",(B28-1)/2,"")</f>
        <v>0</v>
      </c>
      <c r="I28">
        <f>IF(C28&lt;&gt;"",(C28-1)/3,"")</f>
        <v>0</v>
      </c>
      <c r="J28">
        <f>IF(D28&lt;&gt;"",(D28-1)/4,"")</f>
        <v>0</v>
      </c>
      <c r="K28">
        <f>IF(E28&lt;&gt;"",(E28-1)/4,"")</f>
        <v>0</v>
      </c>
      <c r="L28">
        <f>IF(F28&lt;&gt;"",(F28-1)/4,"")</f>
        <v>0</v>
      </c>
      <c r="M28">
        <f>IF(G28&lt;&gt;"",G28,"")</f>
        <v>0</v>
      </c>
      <c r="N28">
        <f>IF(H28&lt;&gt;"",0.4*H28+0.2*I28+0.4*J28,"")</f>
        <v>0</v>
      </c>
      <c r="O28">
        <f>IF(K28&lt;&gt;"",0.6*K28+0.3*L28+0.1*M28,"")</f>
        <v>0</v>
      </c>
      <c r="P28">
        <f>IF(N28&lt;&gt;"",(0.4*N28+0.6*O28)*100,"")</f>
        <v>0</v>
      </c>
      <c r="Q28">
        <f>IF(P28="","",IF(P28&gt;=90,"Crítica",IF(P28&gt;=70,"Alta",IF(P28&gt;=40,"Media","Baja"))))</f>
        <v>0</v>
      </c>
    </row>
    <row r="29" spans="8:17">
      <c r="H29">
        <f>IF(B29&lt;&gt;"",(B29-1)/2,"")</f>
        <v>0</v>
      </c>
      <c r="I29">
        <f>IF(C29&lt;&gt;"",(C29-1)/3,"")</f>
        <v>0</v>
      </c>
      <c r="J29">
        <f>IF(D29&lt;&gt;"",(D29-1)/4,"")</f>
        <v>0</v>
      </c>
      <c r="K29">
        <f>IF(E29&lt;&gt;"",(E29-1)/4,"")</f>
        <v>0</v>
      </c>
      <c r="L29">
        <f>IF(F29&lt;&gt;"",(F29-1)/4,"")</f>
        <v>0</v>
      </c>
      <c r="M29">
        <f>IF(G29&lt;&gt;"",G29,"")</f>
        <v>0</v>
      </c>
      <c r="N29">
        <f>IF(H29&lt;&gt;"",0.4*H29+0.2*I29+0.4*J29,"")</f>
        <v>0</v>
      </c>
      <c r="O29">
        <f>IF(K29&lt;&gt;"",0.6*K29+0.3*L29+0.1*M29,"")</f>
        <v>0</v>
      </c>
      <c r="P29">
        <f>IF(N29&lt;&gt;"",(0.4*N29+0.6*O29)*100,"")</f>
        <v>0</v>
      </c>
      <c r="Q29">
        <f>IF(P29="","",IF(P29&gt;=90,"Crítica",IF(P29&gt;=70,"Alta",IF(P29&gt;=40,"Media","Baja"))))</f>
        <v>0</v>
      </c>
    </row>
    <row r="30" spans="8:17">
      <c r="H30">
        <f>IF(B30&lt;&gt;"",(B30-1)/2,"")</f>
        <v>0</v>
      </c>
      <c r="I30">
        <f>IF(C30&lt;&gt;"",(C30-1)/3,"")</f>
        <v>0</v>
      </c>
      <c r="J30">
        <f>IF(D30&lt;&gt;"",(D30-1)/4,"")</f>
        <v>0</v>
      </c>
      <c r="K30">
        <f>IF(E30&lt;&gt;"",(E30-1)/4,"")</f>
        <v>0</v>
      </c>
      <c r="L30">
        <f>IF(F30&lt;&gt;"",(F30-1)/4,"")</f>
        <v>0</v>
      </c>
      <c r="M30">
        <f>IF(G30&lt;&gt;"",G30,"")</f>
        <v>0</v>
      </c>
      <c r="N30">
        <f>IF(H30&lt;&gt;"",0.4*H30+0.2*I30+0.4*J30,"")</f>
        <v>0</v>
      </c>
      <c r="O30">
        <f>IF(K30&lt;&gt;"",0.6*K30+0.3*L30+0.1*M30,"")</f>
        <v>0</v>
      </c>
      <c r="P30">
        <f>IF(N30&lt;&gt;"",(0.4*N30+0.6*O30)*100,"")</f>
        <v>0</v>
      </c>
      <c r="Q30">
        <f>IF(P30="","",IF(P30&gt;=90,"Crítica",IF(P30&gt;=70,"Alta",IF(P30&gt;=40,"Media","Baja"))))</f>
        <v>0</v>
      </c>
    </row>
    <row r="31" spans="8:17">
      <c r="H31">
        <f>IF(B31&lt;&gt;"",(B31-1)/2,"")</f>
        <v>0</v>
      </c>
      <c r="I31">
        <f>IF(C31&lt;&gt;"",(C31-1)/3,"")</f>
        <v>0</v>
      </c>
      <c r="J31">
        <f>IF(D31&lt;&gt;"",(D31-1)/4,"")</f>
        <v>0</v>
      </c>
      <c r="K31">
        <f>IF(E31&lt;&gt;"",(E31-1)/4,"")</f>
        <v>0</v>
      </c>
      <c r="L31">
        <f>IF(F31&lt;&gt;"",(F31-1)/4,"")</f>
        <v>0</v>
      </c>
      <c r="M31">
        <f>IF(G31&lt;&gt;"",G31,"")</f>
        <v>0</v>
      </c>
      <c r="N31">
        <f>IF(H31&lt;&gt;"",0.4*H31+0.2*I31+0.4*J31,"")</f>
        <v>0</v>
      </c>
      <c r="O31">
        <f>IF(K31&lt;&gt;"",0.6*K31+0.3*L31+0.1*M31,"")</f>
        <v>0</v>
      </c>
      <c r="P31">
        <f>IF(N31&lt;&gt;"",(0.4*N31+0.6*O31)*100,"")</f>
        <v>0</v>
      </c>
      <c r="Q31">
        <f>IF(P31="","",IF(P31&gt;=90,"Crítica",IF(P31&gt;=70,"Alta",IF(P31&gt;=40,"Media","Baja"))))</f>
        <v>0</v>
      </c>
    </row>
    <row r="32" spans="8:17">
      <c r="H32">
        <f>IF(B32&lt;&gt;"",(B32-1)/2,"")</f>
        <v>0</v>
      </c>
      <c r="I32">
        <f>IF(C32&lt;&gt;"",(C32-1)/3,"")</f>
        <v>0</v>
      </c>
      <c r="J32">
        <f>IF(D32&lt;&gt;"",(D32-1)/4,"")</f>
        <v>0</v>
      </c>
      <c r="K32">
        <f>IF(E32&lt;&gt;"",(E32-1)/4,"")</f>
        <v>0</v>
      </c>
      <c r="L32">
        <f>IF(F32&lt;&gt;"",(F32-1)/4,"")</f>
        <v>0</v>
      </c>
      <c r="M32">
        <f>IF(G32&lt;&gt;"",G32,"")</f>
        <v>0</v>
      </c>
      <c r="N32">
        <f>IF(H32&lt;&gt;"",0.4*H32+0.2*I32+0.4*J32,"")</f>
        <v>0</v>
      </c>
      <c r="O32">
        <f>IF(K32&lt;&gt;"",0.6*K32+0.3*L32+0.1*M32,"")</f>
        <v>0</v>
      </c>
      <c r="P32">
        <f>IF(N32&lt;&gt;"",(0.4*N32+0.6*O32)*100,"")</f>
        <v>0</v>
      </c>
      <c r="Q32">
        <f>IF(P32="","",IF(P32&gt;=90,"Crítica",IF(P32&gt;=70,"Alta",IF(P32&gt;=40,"Media","Baja"))))</f>
        <v>0</v>
      </c>
    </row>
    <row r="33" spans="8:17">
      <c r="H33">
        <f>IF(B33&lt;&gt;"",(B33-1)/2,"")</f>
        <v>0</v>
      </c>
      <c r="I33">
        <f>IF(C33&lt;&gt;"",(C33-1)/3,"")</f>
        <v>0</v>
      </c>
      <c r="J33">
        <f>IF(D33&lt;&gt;"",(D33-1)/4,"")</f>
        <v>0</v>
      </c>
      <c r="K33">
        <f>IF(E33&lt;&gt;"",(E33-1)/4,"")</f>
        <v>0</v>
      </c>
      <c r="L33">
        <f>IF(F33&lt;&gt;"",(F33-1)/4,"")</f>
        <v>0</v>
      </c>
      <c r="M33">
        <f>IF(G33&lt;&gt;"",G33,"")</f>
        <v>0</v>
      </c>
      <c r="N33">
        <f>IF(H33&lt;&gt;"",0.4*H33+0.2*I33+0.4*J33,"")</f>
        <v>0</v>
      </c>
      <c r="O33">
        <f>IF(K33&lt;&gt;"",0.6*K33+0.3*L33+0.1*M33,"")</f>
        <v>0</v>
      </c>
      <c r="P33">
        <f>IF(N33&lt;&gt;"",(0.4*N33+0.6*O33)*100,"")</f>
        <v>0</v>
      </c>
      <c r="Q33">
        <f>IF(P33="","",IF(P33&gt;=90,"Crítica",IF(P33&gt;=70,"Alta",IF(P33&gt;=40,"Media","Baja"))))</f>
        <v>0</v>
      </c>
    </row>
    <row r="34" spans="8:17">
      <c r="H34">
        <f>IF(B34&lt;&gt;"",(B34-1)/2,"")</f>
        <v>0</v>
      </c>
      <c r="I34">
        <f>IF(C34&lt;&gt;"",(C34-1)/3,"")</f>
        <v>0</v>
      </c>
      <c r="J34">
        <f>IF(D34&lt;&gt;"",(D34-1)/4,"")</f>
        <v>0</v>
      </c>
      <c r="K34">
        <f>IF(E34&lt;&gt;"",(E34-1)/4,"")</f>
        <v>0</v>
      </c>
      <c r="L34">
        <f>IF(F34&lt;&gt;"",(F34-1)/4,"")</f>
        <v>0</v>
      </c>
      <c r="M34">
        <f>IF(G34&lt;&gt;"",G34,"")</f>
        <v>0</v>
      </c>
      <c r="N34">
        <f>IF(H34&lt;&gt;"",0.4*H34+0.2*I34+0.4*J34,"")</f>
        <v>0</v>
      </c>
      <c r="O34">
        <f>IF(K34&lt;&gt;"",0.6*K34+0.3*L34+0.1*M34,"")</f>
        <v>0</v>
      </c>
      <c r="P34">
        <f>IF(N34&lt;&gt;"",(0.4*N34+0.6*O34)*100,"")</f>
        <v>0</v>
      </c>
      <c r="Q34">
        <f>IF(P34="","",IF(P34&gt;=90,"Crítica",IF(P34&gt;=70,"Alta",IF(P34&gt;=40,"Media","Baja"))))</f>
        <v>0</v>
      </c>
    </row>
    <row r="35" spans="8:17">
      <c r="H35">
        <f>IF(B35&lt;&gt;"",(B35-1)/2,"")</f>
        <v>0</v>
      </c>
      <c r="I35">
        <f>IF(C35&lt;&gt;"",(C35-1)/3,"")</f>
        <v>0</v>
      </c>
      <c r="J35">
        <f>IF(D35&lt;&gt;"",(D35-1)/4,"")</f>
        <v>0</v>
      </c>
      <c r="K35">
        <f>IF(E35&lt;&gt;"",(E35-1)/4,"")</f>
        <v>0</v>
      </c>
      <c r="L35">
        <f>IF(F35&lt;&gt;"",(F35-1)/4,"")</f>
        <v>0</v>
      </c>
      <c r="M35">
        <f>IF(G35&lt;&gt;"",G35,"")</f>
        <v>0</v>
      </c>
      <c r="N35">
        <f>IF(H35&lt;&gt;"",0.4*H35+0.2*I35+0.4*J35,"")</f>
        <v>0</v>
      </c>
      <c r="O35">
        <f>IF(K35&lt;&gt;"",0.6*K35+0.3*L35+0.1*M35,"")</f>
        <v>0</v>
      </c>
      <c r="P35">
        <f>IF(N35&lt;&gt;"",(0.4*N35+0.6*O35)*100,"")</f>
        <v>0</v>
      </c>
      <c r="Q35">
        <f>IF(P35="","",IF(P35&gt;=90,"Crítica",IF(P35&gt;=70,"Alta",IF(P35&gt;=40,"Media","Baja"))))</f>
        <v>0</v>
      </c>
    </row>
    <row r="36" spans="8:17">
      <c r="H36">
        <f>IF(B36&lt;&gt;"",(B36-1)/2,"")</f>
        <v>0</v>
      </c>
      <c r="I36">
        <f>IF(C36&lt;&gt;"",(C36-1)/3,"")</f>
        <v>0</v>
      </c>
      <c r="J36">
        <f>IF(D36&lt;&gt;"",(D36-1)/4,"")</f>
        <v>0</v>
      </c>
      <c r="K36">
        <f>IF(E36&lt;&gt;"",(E36-1)/4,"")</f>
        <v>0</v>
      </c>
      <c r="L36">
        <f>IF(F36&lt;&gt;"",(F36-1)/4,"")</f>
        <v>0</v>
      </c>
      <c r="M36">
        <f>IF(G36&lt;&gt;"",G36,"")</f>
        <v>0</v>
      </c>
      <c r="N36">
        <f>IF(H36&lt;&gt;"",0.4*H36+0.2*I36+0.4*J36,"")</f>
        <v>0</v>
      </c>
      <c r="O36">
        <f>IF(K36&lt;&gt;"",0.6*K36+0.3*L36+0.1*M36,"")</f>
        <v>0</v>
      </c>
      <c r="P36">
        <f>IF(N36&lt;&gt;"",(0.4*N36+0.6*O36)*100,"")</f>
        <v>0</v>
      </c>
      <c r="Q36">
        <f>IF(P36="","",IF(P36&gt;=90,"Crítica",IF(P36&gt;=70,"Alta",IF(P36&gt;=40,"Media","Baja"))))</f>
        <v>0</v>
      </c>
    </row>
    <row r="37" spans="8:17">
      <c r="H37">
        <f>IF(B37&lt;&gt;"",(B37-1)/2,"")</f>
        <v>0</v>
      </c>
      <c r="I37">
        <f>IF(C37&lt;&gt;"",(C37-1)/3,"")</f>
        <v>0</v>
      </c>
      <c r="J37">
        <f>IF(D37&lt;&gt;"",(D37-1)/4,"")</f>
        <v>0</v>
      </c>
      <c r="K37">
        <f>IF(E37&lt;&gt;"",(E37-1)/4,"")</f>
        <v>0</v>
      </c>
      <c r="L37">
        <f>IF(F37&lt;&gt;"",(F37-1)/4,"")</f>
        <v>0</v>
      </c>
      <c r="M37">
        <f>IF(G37&lt;&gt;"",G37,"")</f>
        <v>0</v>
      </c>
      <c r="N37">
        <f>IF(H37&lt;&gt;"",0.4*H37+0.2*I37+0.4*J37,"")</f>
        <v>0</v>
      </c>
      <c r="O37">
        <f>IF(K37&lt;&gt;"",0.6*K37+0.3*L37+0.1*M37,"")</f>
        <v>0</v>
      </c>
      <c r="P37">
        <f>IF(N37&lt;&gt;"",(0.4*N37+0.6*O37)*100,"")</f>
        <v>0</v>
      </c>
      <c r="Q37">
        <f>IF(P37="","",IF(P37&gt;=90,"Crítica",IF(P37&gt;=70,"Alta",IF(P37&gt;=40,"Media","Baja"))))</f>
        <v>0</v>
      </c>
    </row>
    <row r="38" spans="8:17">
      <c r="H38">
        <f>IF(B38&lt;&gt;"",(B38-1)/2,"")</f>
        <v>0</v>
      </c>
      <c r="I38">
        <f>IF(C38&lt;&gt;"",(C38-1)/3,"")</f>
        <v>0</v>
      </c>
      <c r="J38">
        <f>IF(D38&lt;&gt;"",(D38-1)/4,"")</f>
        <v>0</v>
      </c>
      <c r="K38">
        <f>IF(E38&lt;&gt;"",(E38-1)/4,"")</f>
        <v>0</v>
      </c>
      <c r="L38">
        <f>IF(F38&lt;&gt;"",(F38-1)/4,"")</f>
        <v>0</v>
      </c>
      <c r="M38">
        <f>IF(G38&lt;&gt;"",G38,"")</f>
        <v>0</v>
      </c>
      <c r="N38">
        <f>IF(H38&lt;&gt;"",0.4*H38+0.2*I38+0.4*J38,"")</f>
        <v>0</v>
      </c>
      <c r="O38">
        <f>IF(K38&lt;&gt;"",0.6*K38+0.3*L38+0.1*M38,"")</f>
        <v>0</v>
      </c>
      <c r="P38">
        <f>IF(N38&lt;&gt;"",(0.4*N38+0.6*O38)*100,"")</f>
        <v>0</v>
      </c>
      <c r="Q38">
        <f>IF(P38="","",IF(P38&gt;=90,"Crítica",IF(P38&gt;=70,"Alta",IF(P38&gt;=40,"Media","Baja"))))</f>
        <v>0</v>
      </c>
    </row>
    <row r="39" spans="8:17">
      <c r="H39">
        <f>IF(B39&lt;&gt;"",(B39-1)/2,"")</f>
        <v>0</v>
      </c>
      <c r="I39">
        <f>IF(C39&lt;&gt;"",(C39-1)/3,"")</f>
        <v>0</v>
      </c>
      <c r="J39">
        <f>IF(D39&lt;&gt;"",(D39-1)/4,"")</f>
        <v>0</v>
      </c>
      <c r="K39">
        <f>IF(E39&lt;&gt;"",(E39-1)/4,"")</f>
        <v>0</v>
      </c>
      <c r="L39">
        <f>IF(F39&lt;&gt;"",(F39-1)/4,"")</f>
        <v>0</v>
      </c>
      <c r="M39">
        <f>IF(G39&lt;&gt;"",G39,"")</f>
        <v>0</v>
      </c>
      <c r="N39">
        <f>IF(H39&lt;&gt;"",0.4*H39+0.2*I39+0.4*J39,"")</f>
        <v>0</v>
      </c>
      <c r="O39">
        <f>IF(K39&lt;&gt;"",0.6*K39+0.3*L39+0.1*M39,"")</f>
        <v>0</v>
      </c>
      <c r="P39">
        <f>IF(N39&lt;&gt;"",(0.4*N39+0.6*O39)*100,"")</f>
        <v>0</v>
      </c>
      <c r="Q39">
        <f>IF(P39="","",IF(P39&gt;=90,"Crítica",IF(P39&gt;=70,"Alta",IF(P39&gt;=40,"Media","Baja"))))</f>
        <v>0</v>
      </c>
    </row>
    <row r="40" spans="8:17">
      <c r="H40">
        <f>IF(B40&lt;&gt;"",(B40-1)/2,"")</f>
        <v>0</v>
      </c>
      <c r="I40">
        <f>IF(C40&lt;&gt;"",(C40-1)/3,"")</f>
        <v>0</v>
      </c>
      <c r="J40">
        <f>IF(D40&lt;&gt;"",(D40-1)/4,"")</f>
        <v>0</v>
      </c>
      <c r="K40">
        <f>IF(E40&lt;&gt;"",(E40-1)/4,"")</f>
        <v>0</v>
      </c>
      <c r="L40">
        <f>IF(F40&lt;&gt;"",(F40-1)/4,"")</f>
        <v>0</v>
      </c>
      <c r="M40">
        <f>IF(G40&lt;&gt;"",G40,"")</f>
        <v>0</v>
      </c>
      <c r="N40">
        <f>IF(H40&lt;&gt;"",0.4*H40+0.2*I40+0.4*J40,"")</f>
        <v>0</v>
      </c>
      <c r="O40">
        <f>IF(K40&lt;&gt;"",0.6*K40+0.3*L40+0.1*M40,"")</f>
        <v>0</v>
      </c>
      <c r="P40">
        <f>IF(N40&lt;&gt;"",(0.4*N40+0.6*O40)*100,"")</f>
        <v>0</v>
      </c>
      <c r="Q40">
        <f>IF(P40="","",IF(P40&gt;=90,"Crítica",IF(P40&gt;=70,"Alta",IF(P40&gt;=40,"Media","Baja"))))</f>
        <v>0</v>
      </c>
    </row>
    <row r="41" spans="8:17">
      <c r="H41">
        <f>IF(B41&lt;&gt;"",(B41-1)/2,"")</f>
        <v>0</v>
      </c>
      <c r="I41">
        <f>IF(C41&lt;&gt;"",(C41-1)/3,"")</f>
        <v>0</v>
      </c>
      <c r="J41">
        <f>IF(D41&lt;&gt;"",(D41-1)/4,"")</f>
        <v>0</v>
      </c>
      <c r="K41">
        <f>IF(E41&lt;&gt;"",(E41-1)/4,"")</f>
        <v>0</v>
      </c>
      <c r="L41">
        <f>IF(F41&lt;&gt;"",(F41-1)/4,"")</f>
        <v>0</v>
      </c>
      <c r="M41">
        <f>IF(G41&lt;&gt;"",G41,"")</f>
        <v>0</v>
      </c>
      <c r="N41">
        <f>IF(H41&lt;&gt;"",0.4*H41+0.2*I41+0.4*J41,"")</f>
        <v>0</v>
      </c>
      <c r="O41">
        <f>IF(K41&lt;&gt;"",0.6*K41+0.3*L41+0.1*M41,"")</f>
        <v>0</v>
      </c>
      <c r="P41">
        <f>IF(N41&lt;&gt;"",(0.4*N41+0.6*O41)*100,"")</f>
        <v>0</v>
      </c>
      <c r="Q41">
        <f>IF(P41="","",IF(P41&gt;=90,"Crítica",IF(P41&gt;=70,"Alta",IF(P41&gt;=40,"Media","Baja"))))</f>
        <v>0</v>
      </c>
    </row>
    <row r="42" spans="8:17">
      <c r="H42">
        <f>IF(B42&lt;&gt;"",(B42-1)/2,"")</f>
        <v>0</v>
      </c>
      <c r="I42">
        <f>IF(C42&lt;&gt;"",(C42-1)/3,"")</f>
        <v>0</v>
      </c>
      <c r="J42">
        <f>IF(D42&lt;&gt;"",(D42-1)/4,"")</f>
        <v>0</v>
      </c>
      <c r="K42">
        <f>IF(E42&lt;&gt;"",(E42-1)/4,"")</f>
        <v>0</v>
      </c>
      <c r="L42">
        <f>IF(F42&lt;&gt;"",(F42-1)/4,"")</f>
        <v>0</v>
      </c>
      <c r="M42">
        <f>IF(G42&lt;&gt;"",G42,"")</f>
        <v>0</v>
      </c>
      <c r="N42">
        <f>IF(H42&lt;&gt;"",0.4*H42+0.2*I42+0.4*J42,"")</f>
        <v>0</v>
      </c>
      <c r="O42">
        <f>IF(K42&lt;&gt;"",0.6*K42+0.3*L42+0.1*M42,"")</f>
        <v>0</v>
      </c>
      <c r="P42">
        <f>IF(N42&lt;&gt;"",(0.4*N42+0.6*O42)*100,"")</f>
        <v>0</v>
      </c>
      <c r="Q42">
        <f>IF(P42="","",IF(P42&gt;=90,"Crítica",IF(P42&gt;=70,"Alta",IF(P42&gt;=40,"Media","Baja"))))</f>
        <v>0</v>
      </c>
    </row>
    <row r="43" spans="8:17">
      <c r="H43">
        <f>IF(B43&lt;&gt;"",(B43-1)/2,"")</f>
        <v>0</v>
      </c>
      <c r="I43">
        <f>IF(C43&lt;&gt;"",(C43-1)/3,"")</f>
        <v>0</v>
      </c>
      <c r="J43">
        <f>IF(D43&lt;&gt;"",(D43-1)/4,"")</f>
        <v>0</v>
      </c>
      <c r="K43">
        <f>IF(E43&lt;&gt;"",(E43-1)/4,"")</f>
        <v>0</v>
      </c>
      <c r="L43">
        <f>IF(F43&lt;&gt;"",(F43-1)/4,"")</f>
        <v>0</v>
      </c>
      <c r="M43">
        <f>IF(G43&lt;&gt;"",G43,"")</f>
        <v>0</v>
      </c>
      <c r="N43">
        <f>IF(H43&lt;&gt;"",0.4*H43+0.2*I43+0.4*J43,"")</f>
        <v>0</v>
      </c>
      <c r="O43">
        <f>IF(K43&lt;&gt;"",0.6*K43+0.3*L43+0.1*M43,"")</f>
        <v>0</v>
      </c>
      <c r="P43">
        <f>IF(N43&lt;&gt;"",(0.4*N43+0.6*O43)*100,"")</f>
        <v>0</v>
      </c>
      <c r="Q43">
        <f>IF(P43="","",IF(P43&gt;=90,"Crítica",IF(P43&gt;=70,"Alta",IF(P43&gt;=40,"Media","Baja"))))</f>
        <v>0</v>
      </c>
    </row>
    <row r="44" spans="8:17">
      <c r="H44">
        <f>IF(B44&lt;&gt;"",(B44-1)/2,"")</f>
        <v>0</v>
      </c>
      <c r="I44">
        <f>IF(C44&lt;&gt;"",(C44-1)/3,"")</f>
        <v>0</v>
      </c>
      <c r="J44">
        <f>IF(D44&lt;&gt;"",(D44-1)/4,"")</f>
        <v>0</v>
      </c>
      <c r="K44">
        <f>IF(E44&lt;&gt;"",(E44-1)/4,"")</f>
        <v>0</v>
      </c>
      <c r="L44">
        <f>IF(F44&lt;&gt;"",(F44-1)/4,"")</f>
        <v>0</v>
      </c>
      <c r="M44">
        <f>IF(G44&lt;&gt;"",G44,"")</f>
        <v>0</v>
      </c>
      <c r="N44">
        <f>IF(H44&lt;&gt;"",0.4*H44+0.2*I44+0.4*J44,"")</f>
        <v>0</v>
      </c>
      <c r="O44">
        <f>IF(K44&lt;&gt;"",0.6*K44+0.3*L44+0.1*M44,"")</f>
        <v>0</v>
      </c>
      <c r="P44">
        <f>IF(N44&lt;&gt;"",(0.4*N44+0.6*O44)*100,"")</f>
        <v>0</v>
      </c>
      <c r="Q44">
        <f>IF(P44="","",IF(P44&gt;=90,"Crítica",IF(P44&gt;=70,"Alta",IF(P44&gt;=40,"Media","Baja"))))</f>
        <v>0</v>
      </c>
    </row>
    <row r="45" spans="8:17">
      <c r="H45">
        <f>IF(B45&lt;&gt;"",(B45-1)/2,"")</f>
        <v>0</v>
      </c>
      <c r="I45">
        <f>IF(C45&lt;&gt;"",(C45-1)/3,"")</f>
        <v>0</v>
      </c>
      <c r="J45">
        <f>IF(D45&lt;&gt;"",(D45-1)/4,"")</f>
        <v>0</v>
      </c>
      <c r="K45">
        <f>IF(E45&lt;&gt;"",(E45-1)/4,"")</f>
        <v>0</v>
      </c>
      <c r="L45">
        <f>IF(F45&lt;&gt;"",(F45-1)/4,"")</f>
        <v>0</v>
      </c>
      <c r="M45">
        <f>IF(G45&lt;&gt;"",G45,"")</f>
        <v>0</v>
      </c>
      <c r="N45">
        <f>IF(H45&lt;&gt;"",0.4*H45+0.2*I45+0.4*J45,"")</f>
        <v>0</v>
      </c>
      <c r="O45">
        <f>IF(K45&lt;&gt;"",0.6*K45+0.3*L45+0.1*M45,"")</f>
        <v>0</v>
      </c>
      <c r="P45">
        <f>IF(N45&lt;&gt;"",(0.4*N45+0.6*O45)*100,"")</f>
        <v>0</v>
      </c>
      <c r="Q45">
        <f>IF(P45="","",IF(P45&gt;=90,"Crítica",IF(P45&gt;=70,"Alta",IF(P45&gt;=40,"Media","Baja"))))</f>
        <v>0</v>
      </c>
    </row>
    <row r="46" spans="8:17">
      <c r="H46">
        <f>IF(B46&lt;&gt;"",(B46-1)/2,"")</f>
        <v>0</v>
      </c>
      <c r="I46">
        <f>IF(C46&lt;&gt;"",(C46-1)/3,"")</f>
        <v>0</v>
      </c>
      <c r="J46">
        <f>IF(D46&lt;&gt;"",(D46-1)/4,"")</f>
        <v>0</v>
      </c>
      <c r="K46">
        <f>IF(E46&lt;&gt;"",(E46-1)/4,"")</f>
        <v>0</v>
      </c>
      <c r="L46">
        <f>IF(F46&lt;&gt;"",(F46-1)/4,"")</f>
        <v>0</v>
      </c>
      <c r="M46">
        <f>IF(G46&lt;&gt;"",G46,"")</f>
        <v>0</v>
      </c>
      <c r="N46">
        <f>IF(H46&lt;&gt;"",0.4*H46+0.2*I46+0.4*J46,"")</f>
        <v>0</v>
      </c>
      <c r="O46">
        <f>IF(K46&lt;&gt;"",0.6*K46+0.3*L46+0.1*M46,"")</f>
        <v>0</v>
      </c>
      <c r="P46">
        <f>IF(N46&lt;&gt;"",(0.4*N46+0.6*O46)*100,"")</f>
        <v>0</v>
      </c>
      <c r="Q46">
        <f>IF(P46="","",IF(P46&gt;=90,"Crítica",IF(P46&gt;=70,"Alta",IF(P46&gt;=40,"Media","Baja"))))</f>
        <v>0</v>
      </c>
    </row>
    <row r="47" spans="8:17">
      <c r="H47">
        <f>IF(B47&lt;&gt;"",(B47-1)/2,"")</f>
        <v>0</v>
      </c>
      <c r="I47">
        <f>IF(C47&lt;&gt;"",(C47-1)/3,"")</f>
        <v>0</v>
      </c>
      <c r="J47">
        <f>IF(D47&lt;&gt;"",(D47-1)/4,"")</f>
        <v>0</v>
      </c>
      <c r="K47">
        <f>IF(E47&lt;&gt;"",(E47-1)/4,"")</f>
        <v>0</v>
      </c>
      <c r="L47">
        <f>IF(F47&lt;&gt;"",(F47-1)/4,"")</f>
        <v>0</v>
      </c>
      <c r="M47">
        <f>IF(G47&lt;&gt;"",G47,"")</f>
        <v>0</v>
      </c>
      <c r="N47">
        <f>IF(H47&lt;&gt;"",0.4*H47+0.2*I47+0.4*J47,"")</f>
        <v>0</v>
      </c>
      <c r="O47">
        <f>IF(K47&lt;&gt;"",0.6*K47+0.3*L47+0.1*M47,"")</f>
        <v>0</v>
      </c>
      <c r="P47">
        <f>IF(N47&lt;&gt;"",(0.4*N47+0.6*O47)*100,"")</f>
        <v>0</v>
      </c>
      <c r="Q47">
        <f>IF(P47="","",IF(P47&gt;=90,"Crítica",IF(P47&gt;=70,"Alta",IF(P47&gt;=40,"Media","Baja"))))</f>
        <v>0</v>
      </c>
    </row>
    <row r="48" spans="8:17">
      <c r="H48">
        <f>IF(B48&lt;&gt;"",(B48-1)/2,"")</f>
        <v>0</v>
      </c>
      <c r="I48">
        <f>IF(C48&lt;&gt;"",(C48-1)/3,"")</f>
        <v>0</v>
      </c>
      <c r="J48">
        <f>IF(D48&lt;&gt;"",(D48-1)/4,"")</f>
        <v>0</v>
      </c>
      <c r="K48">
        <f>IF(E48&lt;&gt;"",(E48-1)/4,"")</f>
        <v>0</v>
      </c>
      <c r="L48">
        <f>IF(F48&lt;&gt;"",(F48-1)/4,"")</f>
        <v>0</v>
      </c>
      <c r="M48">
        <f>IF(G48&lt;&gt;"",G48,"")</f>
        <v>0</v>
      </c>
      <c r="N48">
        <f>IF(H48&lt;&gt;"",0.4*H48+0.2*I48+0.4*J48,"")</f>
        <v>0</v>
      </c>
      <c r="O48">
        <f>IF(K48&lt;&gt;"",0.6*K48+0.3*L48+0.1*M48,"")</f>
        <v>0</v>
      </c>
      <c r="P48">
        <f>IF(N48&lt;&gt;"",(0.4*N48+0.6*O48)*100,"")</f>
        <v>0</v>
      </c>
      <c r="Q48">
        <f>IF(P48="","",IF(P48&gt;=90,"Crítica",IF(P48&gt;=70,"Alta",IF(P48&gt;=40,"Media","Baja"))))</f>
        <v>0</v>
      </c>
    </row>
    <row r="49" spans="8:17">
      <c r="H49">
        <f>IF(B49&lt;&gt;"",(B49-1)/2,"")</f>
        <v>0</v>
      </c>
      <c r="I49">
        <f>IF(C49&lt;&gt;"",(C49-1)/3,"")</f>
        <v>0</v>
      </c>
      <c r="J49">
        <f>IF(D49&lt;&gt;"",(D49-1)/4,"")</f>
        <v>0</v>
      </c>
      <c r="K49">
        <f>IF(E49&lt;&gt;"",(E49-1)/4,"")</f>
        <v>0</v>
      </c>
      <c r="L49">
        <f>IF(F49&lt;&gt;"",(F49-1)/4,"")</f>
        <v>0</v>
      </c>
      <c r="M49">
        <f>IF(G49&lt;&gt;"",G49,"")</f>
        <v>0</v>
      </c>
      <c r="N49">
        <f>IF(H49&lt;&gt;"",0.4*H49+0.2*I49+0.4*J49,"")</f>
        <v>0</v>
      </c>
      <c r="O49">
        <f>IF(K49&lt;&gt;"",0.6*K49+0.3*L49+0.1*M49,"")</f>
        <v>0</v>
      </c>
      <c r="P49">
        <f>IF(N49&lt;&gt;"",(0.4*N49+0.6*O49)*100,"")</f>
        <v>0</v>
      </c>
      <c r="Q49">
        <f>IF(P49="","",IF(P49&gt;=90,"Crítica",IF(P49&gt;=70,"Alta",IF(P49&gt;=40,"Media","Baja"))))</f>
        <v>0</v>
      </c>
    </row>
    <row r="50" spans="8:17">
      <c r="H50">
        <f>IF(B50&lt;&gt;"",(B50-1)/2,"")</f>
        <v>0</v>
      </c>
      <c r="I50">
        <f>IF(C50&lt;&gt;"",(C50-1)/3,"")</f>
        <v>0</v>
      </c>
      <c r="J50">
        <f>IF(D50&lt;&gt;"",(D50-1)/4,"")</f>
        <v>0</v>
      </c>
      <c r="K50">
        <f>IF(E50&lt;&gt;"",(E50-1)/4,"")</f>
        <v>0</v>
      </c>
      <c r="L50">
        <f>IF(F50&lt;&gt;"",(F50-1)/4,"")</f>
        <v>0</v>
      </c>
      <c r="M50">
        <f>IF(G50&lt;&gt;"",G50,"")</f>
        <v>0</v>
      </c>
      <c r="N50">
        <f>IF(H50&lt;&gt;"",0.4*H50+0.2*I50+0.4*J50,"")</f>
        <v>0</v>
      </c>
      <c r="O50">
        <f>IF(K50&lt;&gt;"",0.6*K50+0.3*L50+0.1*M50,"")</f>
        <v>0</v>
      </c>
      <c r="P50">
        <f>IF(N50&lt;&gt;"",(0.4*N50+0.6*O50)*100,"")</f>
        <v>0</v>
      </c>
      <c r="Q50">
        <f>IF(P50="","",IF(P50&gt;=90,"Crítica",IF(P50&gt;=70,"Alta",IF(P50&gt;=40,"Media","Baja"))))</f>
        <v>0</v>
      </c>
    </row>
    <row r="51" spans="8:17">
      <c r="H51">
        <f>IF(B51&lt;&gt;"",(B51-1)/2,"")</f>
        <v>0</v>
      </c>
      <c r="I51">
        <f>IF(C51&lt;&gt;"",(C51-1)/3,"")</f>
        <v>0</v>
      </c>
      <c r="J51">
        <f>IF(D51&lt;&gt;"",(D51-1)/4,"")</f>
        <v>0</v>
      </c>
      <c r="K51">
        <f>IF(E51&lt;&gt;"",(E51-1)/4,"")</f>
        <v>0</v>
      </c>
      <c r="L51">
        <f>IF(F51&lt;&gt;"",(F51-1)/4,"")</f>
        <v>0</v>
      </c>
      <c r="M51">
        <f>IF(G51&lt;&gt;"",G51,"")</f>
        <v>0</v>
      </c>
      <c r="N51">
        <f>IF(H51&lt;&gt;"",0.4*H51+0.2*I51+0.4*J51,"")</f>
        <v>0</v>
      </c>
      <c r="O51">
        <f>IF(K51&lt;&gt;"",0.6*K51+0.3*L51+0.1*M51,"")</f>
        <v>0</v>
      </c>
      <c r="P51">
        <f>IF(N51&lt;&gt;"",(0.4*N51+0.6*O51)*100,"")</f>
        <v>0</v>
      </c>
      <c r="Q51">
        <f>IF(P51="","",IF(P51&gt;=90,"Crítica",IF(P51&gt;=70,"Alta",IF(P51&gt;=40,"Media","Baja"))))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2026-01-21T13:22:43Z</dcterms:created>
  <dcterms:modified xsi:type="dcterms:W3CDTF">2026-01-21T13:22:43Z</dcterms:modified>
</cp:coreProperties>
</file>